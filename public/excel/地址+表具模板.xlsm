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安装位置">代码表!$D$2:$D$6</definedName>
    <definedName name="表流量">代码表!$G$2:$G$20</definedName>
    <definedName name="工商">代码表!$A$2:$A$7</definedName>
    <definedName name="进气方向">代码表!$C$2:$C$4</definedName>
    <definedName name="居民">代码表!$B$2:$B$5</definedName>
    <definedName name="其他证件">代码表!$F$2:$F$5</definedName>
    <definedName name="支付方式">代码表!$E$2:$E$9</definedName>
  </definedNames>
  <calcPr calcId="144525" concurrentCalc="0"/>
</workbook>
</file>

<file path=xl/sharedStrings.xml><?xml version="1.0" encoding="utf-8"?>
<sst xmlns="http://schemas.openxmlformats.org/spreadsheetml/2006/main" count="71" uniqueCount="62">
  <si>
    <t>详细地址</t>
  </si>
  <si>
    <t>表具编号</t>
  </si>
  <si>
    <t>表流量</t>
  </si>
  <si>
    <t>出厂日期</t>
  </si>
  <si>
    <t>进气方向</t>
  </si>
  <si>
    <t>安装位置</t>
  </si>
  <si>
    <t>安装日期</t>
  </si>
  <si>
    <t>启用表底</t>
  </si>
  <si>
    <t>测试地址</t>
  </si>
  <si>
    <t>123456789012</t>
  </si>
  <si>
    <t>G2.5</t>
  </si>
  <si>
    <t>左进气</t>
  </si>
  <si>
    <t>厨房</t>
  </si>
  <si>
    <t>版本号</t>
  </si>
  <si>
    <t>为了使功能可用，请务必启用宏！</t>
  </si>
  <si>
    <t>工商</t>
  </si>
  <si>
    <t>居民</t>
  </si>
  <si>
    <t>支付方式</t>
  </si>
  <si>
    <t>其他证件</t>
  </si>
  <si>
    <t>商业</t>
  </si>
  <si>
    <t>现金</t>
  </si>
  <si>
    <t>军官证</t>
  </si>
  <si>
    <t>G1.6</t>
  </si>
  <si>
    <t>工业</t>
  </si>
  <si>
    <t>壁挂炉</t>
  </si>
  <si>
    <t>右进气</t>
  </si>
  <si>
    <t>过道</t>
  </si>
  <si>
    <t>划卡</t>
  </si>
  <si>
    <t>护照</t>
  </si>
  <si>
    <t>供热</t>
  </si>
  <si>
    <t>低保</t>
  </si>
  <si>
    <t>其他</t>
  </si>
  <si>
    <t>阳台</t>
  </si>
  <si>
    <t>账户扣款</t>
  </si>
  <si>
    <t>房产证号</t>
  </si>
  <si>
    <t>G4</t>
  </si>
  <si>
    <t>公福</t>
  </si>
  <si>
    <t>煤改气</t>
  </si>
  <si>
    <t>户外</t>
  </si>
  <si>
    <t>支票</t>
  </si>
  <si>
    <t>G6</t>
  </si>
  <si>
    <t>车用</t>
  </si>
  <si>
    <t>微信</t>
  </si>
  <si>
    <t>G10</t>
  </si>
  <si>
    <t>自用</t>
  </si>
  <si>
    <t>支付宝</t>
  </si>
  <si>
    <t>G16</t>
  </si>
  <si>
    <t>账单</t>
  </si>
  <si>
    <t>G25</t>
  </si>
  <si>
    <t>银行转账</t>
  </si>
  <si>
    <t>G40</t>
  </si>
  <si>
    <t>G65</t>
  </si>
  <si>
    <t>G100</t>
  </si>
  <si>
    <t>DN25</t>
  </si>
  <si>
    <t>DN32</t>
  </si>
  <si>
    <t>DN40</t>
  </si>
  <si>
    <t>DN50</t>
  </si>
  <si>
    <t>DN65</t>
  </si>
  <si>
    <t>DN80</t>
  </si>
  <si>
    <t>DN100</t>
  </si>
  <si>
    <t>DN150</t>
  </si>
  <si>
    <t>DN200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</si>
</sst>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00;[Red]0.0000"/>
    <numFmt numFmtId="177" formatCode="yyyy\-mm\-dd"/>
    <numFmt numFmtId="44" formatCode="_ &quot;￥&quot;* #,##0.00_ ;_ &quot;￥&quot;* \-#,##0.00_ ;_ &quot;￥&quot;* &quot;-&quot;??_ ;_ @_ "/>
    <numFmt numFmtId="178" formatCode="0.0_ "/>
  </numFmts>
  <fonts count="26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1"/>
      <color theme="3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32" borderId="8" applyNumberFormat="0" applyFon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1" fillId="12" borderId="2" applyNumberFormat="0" applyAlignment="0" applyProtection="0">
      <alignment vertical="center"/>
    </xf>
    <xf numFmtId="0" fontId="16" fillId="12" borderId="4" applyNumberFormat="0" applyAlignment="0" applyProtection="0">
      <alignment vertical="center"/>
    </xf>
    <xf numFmtId="0" fontId="9" fillId="4" borderId="1" applyNumberForma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Protection="1">
      <alignment vertical="center"/>
      <protection locked="0"/>
    </xf>
    <xf numFmtId="49" fontId="4" fillId="0" borderId="0" xfId="0" applyNumberFormat="1" applyFont="1" applyProtection="1">
      <alignment vertical="center"/>
      <protection locked="0"/>
    </xf>
    <xf numFmtId="177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177" fontId="1" fillId="0" borderId="0" xfId="0" applyNumberFormat="1" applyFont="1" applyAlignment="1" applyProtection="1">
      <alignment horizontal="center" vertical="center"/>
    </xf>
    <xf numFmtId="177" fontId="5" fillId="0" borderId="0" xfId="0" applyNumberFormat="1" applyFont="1" applyAlignment="1" applyProtection="1">
      <alignment horizontal="center" vertical="center"/>
    </xf>
    <xf numFmtId="178" fontId="5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vertical="center" wrapText="1"/>
      <protection locked="0"/>
    </xf>
    <xf numFmtId="0" fontId="6" fillId="0" borderId="0" xfId="0" applyFont="1" applyProtection="1">
      <alignment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2"/>
  <sheetViews>
    <sheetView workbookViewId="0">
      <selection activeCell="I2" sqref="I2"/>
    </sheetView>
  </sheetViews>
  <sheetFormatPr defaultColWidth="9" defaultRowHeight="13.5" outlineLevelRow="1"/>
  <cols>
    <col min="1" max="1" width="14.75" style="9" customWidth="1"/>
    <col min="2" max="2" width="16.125" style="10" customWidth="1"/>
    <col min="3" max="4" width="11.5" style="11"/>
    <col min="5" max="5" width="11.5" style="9"/>
    <col min="6" max="7" width="11.5" style="11"/>
    <col min="8" max="8" width="9" style="12"/>
    <col min="9" max="16384" width="9" style="13"/>
  </cols>
  <sheetData>
    <row r="1" s="8" customFormat="1" ht="30" customHeight="1" spans="1:9">
      <c r="A1" s="14" t="s">
        <v>0</v>
      </c>
      <c r="B1" s="15" t="s">
        <v>1</v>
      </c>
      <c r="C1" s="8" t="s">
        <v>2</v>
      </c>
      <c r="D1" s="16" t="s">
        <v>3</v>
      </c>
      <c r="E1" s="14" t="s">
        <v>4</v>
      </c>
      <c r="F1" s="14" t="s">
        <v>5</v>
      </c>
      <c r="G1" s="17" t="s">
        <v>6</v>
      </c>
      <c r="H1" s="18" t="s">
        <v>7</v>
      </c>
      <c r="I1" s="14"/>
    </row>
    <row r="2" spans="1:9">
      <c r="A2" s="19" t="s">
        <v>8</v>
      </c>
      <c r="B2" s="10" t="s">
        <v>9</v>
      </c>
      <c r="C2" s="9" t="s">
        <v>10</v>
      </c>
      <c r="D2" s="11">
        <v>43780</v>
      </c>
      <c r="E2" s="9" t="s">
        <v>11</v>
      </c>
      <c r="F2" s="9" t="s">
        <v>12</v>
      </c>
      <c r="G2" s="11">
        <v>43780</v>
      </c>
      <c r="H2" s="12">
        <v>0</v>
      </c>
      <c r="I2" s="20"/>
    </row>
  </sheetData>
  <sheetProtection password="EB54" sheet="1" formatColumns="0" formatRows="0" insertRows="0" deleteRows="0" objects="1"/>
  <protectedRanges>
    <protectedRange password="C66D" sqref="B1:XFC1" name="表头"/>
    <protectedRange sqref="A1" name="表头_1"/>
  </protectedRanges>
  <dataValidations count="11">
    <dataValidation type="list" allowBlank="1" showInputMessage="1" showErrorMessage="1" error="表流量输入非法" sqref="C$1:C$1048576">
      <formula1>INDIRECT("表流量")</formula1>
    </dataValidation>
    <dataValidation type="custom" allowBlank="1" showInputMessage="1" showErrorMessage="1" error="详细地址长度不能超过64位字符且不重复" sqref="A1">
      <formula1>(LEN($A1)&lt;=64)*(COUNTIF($A:$A,$A1)=1)</formula1>
    </dataValidation>
    <dataValidation type="custom" allowBlank="1" showInputMessage="1" showErrorMessage="1" error="表具编号长度不能超过32位字符" sqref="B2:B1048576">
      <formula1>(LEN($A2)&lt;=64)</formula1>
    </dataValidation>
    <dataValidation type="date" operator="greaterThan" allowBlank="1" showInputMessage="1" showErrorMessage="1" error="请输入正确的时间" sqref="D$1:D$1048576">
      <formula1>1</formula1>
    </dataValidation>
    <dataValidation type="custom" allowBlank="1" showInputMessage="1" showErrorMessage="1" error="表具编号长度不能超过32位字符且不重复" sqref="B1">
      <formula1>(LEN($B1)&lt;=32)*(COUNTIF(B:B,B1)=1)</formula1>
    </dataValidation>
    <dataValidation allowBlank="1" showInputMessage="1" showErrorMessage="1" sqref="E1"/>
    <dataValidation type="list" allowBlank="1" showInputMessage="1" showErrorMessage="1" sqref="E2:E1048576">
      <formula1>INDIRECT("进气方向")</formula1>
    </dataValidation>
    <dataValidation type="custom" allowBlank="1" showInputMessage="1" showErrorMessage="1" error="详细地址长度不能超过64位字符" sqref="A2:A1048576">
      <formula1>(LEN($A2)&lt;=64)</formula1>
    </dataValidation>
    <dataValidation type="list" allowBlank="1" showInputMessage="1" showErrorMessage="1" sqref="F$1:F$1048576">
      <formula1>INDIRECT("安装位置")</formula1>
    </dataValidation>
    <dataValidation type="date" operator="greaterThan" allowBlank="1" showInputMessage="1" showErrorMessage="1" sqref="G$1:G$1048576">
      <formula1>1</formula1>
    </dataValidation>
    <dataValidation type="decimal" operator="between" allowBlank="1" showInputMessage="1" showErrorMessage="1" error="启用表底，最大值:9999999999.9999" sqref="H$1:H$1048576">
      <formula1>0</formula1>
      <formula2>9999999999.9999</formula2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2" sqref="A2"/>
    </sheetView>
  </sheetViews>
  <sheetFormatPr defaultColWidth="9" defaultRowHeight="13.5" outlineLevelRow="1"/>
  <cols>
    <col min="1" max="1" width="15.25" customWidth="1"/>
  </cols>
  <sheetData>
    <row r="1" spans="1:1">
      <c r="A1" t="s">
        <v>13</v>
      </c>
    </row>
    <row r="2" spans="1:1">
      <c r="A2">
        <v>20201123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A14" sqref="A14"/>
    </sheetView>
  </sheetViews>
  <sheetFormatPr defaultColWidth="9" defaultRowHeight="13.5" outlineLevelRow="6" outlineLevelCol="6"/>
  <sheetData>
    <row r="1" spans="1:7">
      <c r="A1" s="6" t="s">
        <v>14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sheetProtection algorithmName="SHA-512" hashValue="0LWBA6Jz1zulrXXCtihSqvHoEqZ7+9kH4Vc7RfiwuvY3Dm6HTj9LCNTrfTtUgQLxXkL7LZqsenJ8zOEFGPs4TA==" saltValue="t6hzEM6wO7vqSVrhBuf18A==" spinCount="100000" sheet="1" objects="1" scenarios="1"/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0"/>
  <sheetViews>
    <sheetView workbookViewId="0">
      <selection activeCell="C12" sqref="C12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15</v>
      </c>
      <c r="B1" s="1" t="s">
        <v>16</v>
      </c>
      <c r="C1" s="1" t="s">
        <v>4</v>
      </c>
      <c r="D1" s="3" t="s">
        <v>5</v>
      </c>
      <c r="E1" s="1" t="s">
        <v>17</v>
      </c>
      <c r="F1" s="1" t="s">
        <v>18</v>
      </c>
      <c r="G1" s="1" t="s">
        <v>2</v>
      </c>
    </row>
    <row r="2" spans="1:7">
      <c r="A2" s="4" t="s">
        <v>19</v>
      </c>
      <c r="B2" t="s">
        <v>16</v>
      </c>
      <c r="C2" t="s">
        <v>11</v>
      </c>
      <c r="D2" s="5" t="s">
        <v>12</v>
      </c>
      <c r="E2" t="s">
        <v>20</v>
      </c>
      <c r="F2" s="5" t="s">
        <v>21</v>
      </c>
      <c r="G2" t="s">
        <v>22</v>
      </c>
    </row>
    <row r="3" spans="1:7">
      <c r="A3" t="s">
        <v>23</v>
      </c>
      <c r="B3" t="s">
        <v>24</v>
      </c>
      <c r="C3" s="4" t="s">
        <v>25</v>
      </c>
      <c r="D3" s="5" t="s">
        <v>26</v>
      </c>
      <c r="E3" t="s">
        <v>27</v>
      </c>
      <c r="F3" s="5" t="s">
        <v>28</v>
      </c>
      <c r="G3" t="s">
        <v>10</v>
      </c>
    </row>
    <row r="4" spans="1:7">
      <c r="A4" t="s">
        <v>29</v>
      </c>
      <c r="B4" t="s">
        <v>30</v>
      </c>
      <c r="C4" s="4" t="s">
        <v>31</v>
      </c>
      <c r="D4" s="5" t="s">
        <v>32</v>
      </c>
      <c r="E4" t="s">
        <v>33</v>
      </c>
      <c r="F4" s="5" t="s">
        <v>34</v>
      </c>
      <c r="G4" t="s">
        <v>35</v>
      </c>
    </row>
    <row r="5" spans="1:7">
      <c r="A5" t="s">
        <v>36</v>
      </c>
      <c r="B5" t="s">
        <v>37</v>
      </c>
      <c r="D5" s="5" t="s">
        <v>38</v>
      </c>
      <c r="E5" t="s">
        <v>39</v>
      </c>
      <c r="F5" s="5" t="s">
        <v>31</v>
      </c>
      <c r="G5" t="s">
        <v>40</v>
      </c>
    </row>
    <row r="6" spans="1:7">
      <c r="A6" t="s">
        <v>41</v>
      </c>
      <c r="D6" s="5" t="s">
        <v>31</v>
      </c>
      <c r="E6" t="s">
        <v>42</v>
      </c>
      <c r="F6" s="5"/>
      <c r="G6" t="s">
        <v>43</v>
      </c>
    </row>
    <row r="7" spans="1:7">
      <c r="A7" t="s">
        <v>44</v>
      </c>
      <c r="E7" t="s">
        <v>45</v>
      </c>
      <c r="F7" s="5"/>
      <c r="G7" t="s">
        <v>46</v>
      </c>
    </row>
    <row r="8" spans="5:7">
      <c r="E8" t="s">
        <v>47</v>
      </c>
      <c r="F8" s="5"/>
      <c r="G8" t="s">
        <v>48</v>
      </c>
    </row>
    <row r="9" spans="5:7">
      <c r="E9" t="s">
        <v>49</v>
      </c>
      <c r="F9" s="5"/>
      <c r="G9" t="s">
        <v>50</v>
      </c>
    </row>
    <row r="10" spans="7:7">
      <c r="G10" t="s">
        <v>51</v>
      </c>
    </row>
    <row r="11" spans="7:7">
      <c r="G11" t="s">
        <v>52</v>
      </c>
    </row>
    <row r="12" spans="7:7">
      <c r="G12" t="s">
        <v>53</v>
      </c>
    </row>
    <row r="13" spans="7:7">
      <c r="G13" t="s">
        <v>54</v>
      </c>
    </row>
    <row r="14" spans="7:7">
      <c r="G14" t="s">
        <v>55</v>
      </c>
    </row>
    <row r="15" spans="7:7">
      <c r="G15" t="s">
        <v>56</v>
      </c>
    </row>
    <row r="16" spans="7:7">
      <c r="G16" t="s">
        <v>57</v>
      </c>
    </row>
    <row r="17" spans="7:7">
      <c r="G17" t="s">
        <v>58</v>
      </c>
    </row>
    <row r="18" spans="7:7">
      <c r="G18" t="s">
        <v>59</v>
      </c>
    </row>
    <row r="19" spans="7:7">
      <c r="G19" t="s">
        <v>60</v>
      </c>
    </row>
    <row r="20" spans="7:7">
      <c r="G20" t="s">
        <v>61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2020-11-23T03:34:55Z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